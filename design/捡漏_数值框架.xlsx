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说明与调参指南" sheetId="1" state="visible" r:id="rId1"/>
    <sheet name="稀有度定义" sheetId="2" state="visible" r:id="rId2"/>
    <sheet name="盲盒配置" sheetId="3" state="visible" r:id="rId3"/>
    <sheet name="街头垃圾表" sheetId="4" state="visible" r:id="rId4"/>
    <sheet name="区域配置" sheetId="5" state="visible" r:id="rId5"/>
    <sheet name="载具与升级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#,##0.000"/>
  </numFmts>
  <fonts count="7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E2552F"/>
      <sz val="14"/>
    </font>
    <font>
      <name val="微软雅黑"/>
      <charset val="134"/>
      <family val="2"/>
      <color rgb="FF5A6169"/>
      <sz val="10"/>
    </font>
    <font>
      <name val="微软雅黑"/>
      <charset val="134"/>
      <family val="2"/>
      <b val="1"/>
      <sz val="10.5"/>
    </font>
    <font>
      <name val="微软雅黑"/>
      <charset val="134"/>
      <family val="2"/>
      <sz val="10.5"/>
    </font>
    <font>
      <name val="微软雅黑"/>
      <charset val="134"/>
      <family val="2"/>
      <b val="1"/>
      <color rgb="FFFFFFFF"/>
      <sz val="10.5"/>
    </font>
    <font>
      <name val="宋体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1F2328"/>
      </patternFill>
    </fill>
    <fill>
      <patternFill patternType="solid">
        <fgColor rgb="FFFDF9EC"/>
      </patternFill>
    </fill>
    <fill>
      <patternFill patternType="solid">
        <fgColor rgb="FFECEAE4"/>
      </patternFill>
    </fill>
    <fill>
      <patternFill patternType="solid">
        <fgColor rgb="FFDFF0E6"/>
      </patternFill>
    </fill>
    <fill>
      <patternFill patternType="solid">
        <fgColor rgb="FFE0EBF7"/>
      </patternFill>
    </fill>
    <fill>
      <patternFill patternType="solid">
        <fgColor rgb="FFECE2F5"/>
      </patternFill>
    </fill>
    <fill>
      <patternFill patternType="solid">
        <fgColor rgb="FFFAEFCD"/>
      </patternFill>
    </fill>
  </fills>
  <borders count="2">
    <border>
      <left/>
      <right/>
      <top/>
      <bottom/>
      <diagonal/>
    </border>
    <border>
      <left style="thin">
        <color rgb="FFD9D5CD"/>
      </left>
      <right style="thin">
        <color rgb="FFD9D5CD"/>
      </right>
      <top style="thin">
        <color rgb="FFD9D5CD"/>
      </top>
      <bottom style="thin">
        <color rgb="FFD9D5C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tabSelected="1" workbookViewId="0">
      <selection activeCell="A1" sqref="A1"/>
    </sheetView>
  </sheetViews>
  <sheetFormatPr baseColWidth="8" defaultRowHeight="14"/>
  <cols>
    <col width="1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 ht="20" customHeight="1">
      <c r="A1" s="1" t="inlineStr">
        <is>
          <t>《捡漏》数值框架 v1.0</t>
        </is>
      </c>
    </row>
    <row r="2" ht="15.5" customHeight="1">
      <c r="A2" s="2" t="inlineStr">
        <is>
          <t>浅黄底色的列都是公式，改上游参数会自动重算。改完请先看「概率合计」两处校验是否仍为 100%。</t>
        </is>
      </c>
    </row>
    <row r="3" ht="15" customHeight="1">
      <c r="A3" s="3" t="inlineStr">
        <is>
          <t>工作表</t>
        </is>
      </c>
      <c r="B3" s="3" t="inlineStr">
        <is>
          <t>作用</t>
        </is>
      </c>
      <c r="C3" s="3" t="inlineStr">
        <is>
          <t>调参提示</t>
        </is>
      </c>
    </row>
    <row r="4" ht="15" customHeight="1">
      <c r="A4" s="4" t="inlineStr">
        <is>
          <t>稀有度定义</t>
        </is>
      </c>
      <c r="B4" s="4" t="inlineStr">
        <is>
          <t>五档稀有度的材料回收价、图鉴点、街头平均单件价</t>
        </is>
      </c>
      <c r="C4" s="4" t="inlineStr">
        <is>
          <t>全局基准，改动会同时影响盲盒与区域两张表，建议最后再调。</t>
        </is>
      </c>
    </row>
    <row r="5" ht="30" customHeight="1">
      <c r="A5" s="3" t="inlineStr">
        <is>
          <t>盲盒配置</t>
        </is>
      </c>
      <c r="B5" s="3" t="inlineStr">
        <is>
          <t>五种盲盒的售价、概率与保底计数，自动算货币EV、返还率、图鉴点期望</t>
        </is>
      </c>
      <c r="C5" s="3" t="inlineStr">
        <is>
          <t>「材料返还率」目标 55%–65%。高于 70% 玩家就不需要肝了；低于 50% 会觉得被坑。</t>
        </is>
      </c>
    </row>
    <row r="6" ht="15" customHeight="1">
      <c r="A6" s="3" t="inlineStr">
        <is>
          <t>街头垃圾表</t>
        </is>
      </c>
      <c r="B6" s="3" t="inlineStr">
        <is>
          <t>街头可拾取物品清单（品类 / 稀有度 / 主要区域 / 区域 id / 重量 / 单价 / 格数）</t>
        </is>
      </c>
      <c r="C6" s="3" t="inlineStr">
        <is>
          <t>「区域 id」列是 config/items.json → zones 的映射来源（多区域用英文逗号连接），本表行序与 config/items.json 严格一致；紫金件单价可以给高，但区域出现率必须极低，否则经济瞬间崩。</t>
        </is>
      </c>
    </row>
    <row r="7" ht="30" customHeight="1">
      <c r="A7" s="3" t="inlineStr">
        <is>
          <t>区域配置</t>
        </is>
      </c>
      <c r="B7" s="3" t="inlineStr">
        <is>
          <t>六区域的解锁条件、体力消耗、稀有度概率分布</t>
        </is>
      </c>
      <c r="C7" s="3" t="inlineStr">
        <is>
          <t>看「每体力收益」列：相邻区域差距控制在 10% 以内，保证老区域不作废。</t>
        </is>
      </c>
    </row>
    <row r="8" ht="30" customHeight="1">
      <c r="A8" s="3" t="inlineStr">
        <is>
          <t>载具与升级</t>
        </is>
      </c>
      <c r="B8" s="3" t="inlineStr">
        <is>
          <t>五级载具的格数与升级成本，算攒钱趟数与回收趟数</t>
        </is>
      </c>
      <c r="C8" s="3" t="inlineStr">
        <is>
          <t>「攒钱趟数」8–18 趟最舒服。低于 5 趟升级没成就感，高于 25 趟会劝退。</t>
        </is>
      </c>
    </row>
    <row r="9" ht="15" customHeight="1">
      <c r="A9" s="3" t="n"/>
      <c r="B9" s="3" t="n"/>
      <c r="C9" s="3" t="n"/>
    </row>
    <row r="10" ht="15" customHeight="1">
      <c r="A10" s="3" t="inlineStr">
        <is>
          <t>核心模型</t>
        </is>
      </c>
      <c r="B10" s="3" t="inlineStr">
        <is>
          <t>单趟收益 = 载具格数 × 该区域平均单件价值</t>
        </is>
      </c>
      <c r="C10" s="3" t="n"/>
    </row>
    <row r="11" ht="15" customHeight="1">
      <c r="A11" s="3" t="n"/>
      <c r="B11" s="3" t="inlineStr">
        <is>
          <t>平均单件价值 = Σ(各稀有度概率 × 该档街头均价)</t>
        </is>
      </c>
      <c r="C11" s="3" t="inlineStr">
        <is>
          <t>所以「区域」决定捡到什么，「载具」决定一趟能带多少。</t>
        </is>
      </c>
    </row>
    <row r="13">
      <c r="A13" s="3" t="inlineStr">
        <is>
          <t>品相与结算（对应 config/global.json → sell）</t>
        </is>
      </c>
    </row>
    <row r="14">
      <c r="A14" s="3" t="inlineStr">
        <is>
          <t>品相</t>
        </is>
      </c>
      <c r="B14" s="3" t="inlineStr">
        <is>
          <t>售价系数</t>
        </is>
      </c>
      <c r="C14" s="3" t="inlineStr">
        <is>
          <t>出现权重</t>
        </is>
      </c>
    </row>
    <row r="15">
      <c r="A15" s="3" t="inlineStr">
        <is>
          <t>完好 pristine</t>
        </is>
      </c>
      <c r="B15" s="3" t="n">
        <v>1</v>
      </c>
      <c r="C15" s="3" t="n">
        <v>0.5</v>
      </c>
    </row>
    <row r="16">
      <c r="A16" s="3" t="inlineStr">
        <is>
          <t>磨损 worn</t>
        </is>
      </c>
      <c r="B16" s="3" t="n">
        <v>0.8</v>
      </c>
      <c r="C16" s="3" t="n">
        <v>0.35</v>
      </c>
    </row>
    <row r="17">
      <c r="A17" s="3" t="inlineStr">
        <is>
          <t>破损 broken</t>
        </is>
      </c>
      <c r="B17" s="3" t="n">
        <v>0.5</v>
      </c>
      <c r="C17" s="3" t="n">
        <v>0.15</v>
      </c>
    </row>
    <row r="18">
      <c r="A18" s="3" t="inlineStr">
        <is>
          <t>结算公式</t>
        </is>
      </c>
      <c r="B18" s="3" t="inlineStr">
        <is>
          <t>实际售价 = 回收单价 × 品相系数 × 区域价格系数（区域价格系数 0.85–1.25，见 config/global.json → sell.zonePriceModifier）。出现权重合计必须 = 100%。</t>
        </is>
      </c>
    </row>
    <row r="20">
      <c r="A20" s="3" t="inlineStr">
        <is>
          <t>等级与区域解锁（对应 config/global.json → level）</t>
        </is>
      </c>
    </row>
    <row r="21">
      <c r="A21" s="3" t="inlineStr">
        <is>
          <t>经验来源</t>
        </is>
      </c>
      <c r="B21" s="3" t="inlineStr">
        <is>
          <t>累计出售额 × expPerCurrency（首版 1 元 = 1 经验）</t>
        </is>
      </c>
    </row>
    <row r="22">
      <c r="A22" s="3" t="inlineStr">
        <is>
          <t>等级</t>
        </is>
      </c>
      <c r="B22" s="3" t="n">
        <v>1</v>
      </c>
      <c r="C22" s="3" t="n">
        <v>2</v>
      </c>
      <c r="D22" s="3" t="n">
        <v>3</v>
      </c>
      <c r="E22" s="3" t="n">
        <v>4</v>
      </c>
      <c r="F22" s="3" t="n">
        <v>5</v>
      </c>
      <c r="G22" s="3" t="n">
        <v>6</v>
      </c>
      <c r="H22" s="3" t="n">
        <v>7</v>
      </c>
      <c r="I22" s="3" t="n">
        <v>8</v>
      </c>
      <c r="J22" s="3" t="n">
        <v>9</v>
      </c>
      <c r="K22" s="3" t="n">
        <v>10</v>
      </c>
      <c r="L22" s="3" t="n">
        <v>11</v>
      </c>
      <c r="M22" s="3" t="n">
        <v>12</v>
      </c>
      <c r="N22" s="3" t="n">
        <v>13</v>
      </c>
      <c r="O22" s="3" t="n">
        <v>14</v>
      </c>
      <c r="P22" s="3" t="n">
        <v>15</v>
      </c>
      <c r="Q22" s="3" t="n">
        <v>16</v>
      </c>
      <c r="R22" s="3" t="n">
        <v>17</v>
      </c>
      <c r="S22" s="3" t="n">
        <v>18</v>
      </c>
      <c r="T22" s="3" t="n">
        <v>19</v>
      </c>
      <c r="U22" s="3" t="n">
        <v>20</v>
      </c>
    </row>
    <row r="23">
      <c r="A23" s="3" t="inlineStr">
        <is>
          <t>累计经验</t>
        </is>
      </c>
      <c r="B23" s="3" t="n">
        <v>0</v>
      </c>
      <c r="C23" s="3" t="n">
        <v>20</v>
      </c>
      <c r="D23" s="3" t="n">
        <v>50</v>
      </c>
      <c r="E23" s="3" t="n">
        <v>90</v>
      </c>
      <c r="F23" s="3" t="n">
        <v>140</v>
      </c>
      <c r="G23" s="3" t="n">
        <v>200</v>
      </c>
      <c r="H23" s="3" t="n">
        <v>280</v>
      </c>
      <c r="I23" s="3" t="n">
        <v>380</v>
      </c>
      <c r="J23" s="3" t="n">
        <v>500</v>
      </c>
      <c r="K23" s="3" t="n">
        <v>640</v>
      </c>
      <c r="L23" s="3" t="n">
        <v>800</v>
      </c>
      <c r="M23" s="3" t="n">
        <v>1000</v>
      </c>
      <c r="N23" s="3" t="n">
        <v>1250</v>
      </c>
      <c r="O23" s="3" t="n">
        <v>1550</v>
      </c>
      <c r="P23" s="3" t="n">
        <v>1900</v>
      </c>
      <c r="Q23" s="3" t="n">
        <v>2300</v>
      </c>
      <c r="R23" s="3" t="n">
        <v>2800</v>
      </c>
      <c r="S23" s="3" t="n">
        <v>3400</v>
      </c>
      <c r="T23" s="3" t="n">
        <v>4100</v>
      </c>
      <c r="U23" s="3" t="n">
        <v>4900</v>
      </c>
    </row>
    <row r="24">
      <c r="A24" s="3" t="inlineStr">
        <is>
          <t>区域解锁</t>
        </is>
      </c>
      <c r="B24" s="3" t="inlineStr">
        <is>
          <t>Lv3 商业街区 · Lv6 老旧小区 · Lv10 建设工地 · Lv15 老城区 · Lv20 城郊填埋场</t>
        </is>
      </c>
    </row>
    <row r="25">
      <c r="A25" s="3" t="inlineStr">
        <is>
          <t>节奏参照</t>
        </is>
      </c>
      <c r="B25" s="3" t="inlineStr">
        <is>
          <t>Lv3 约 6 趟（手提袋 @街头巷尾 9 元/趟）、Lv6 约 8 趟（小推车 26.6 元/趟），对应策划案「20 分钟内解锁第二区域」。</t>
        </is>
      </c>
    </row>
    <row r="27">
      <c r="A27" s="3" t="inlineStr">
        <is>
          <t>背包扩容与假点（对应 config/global.json → grids、config/zones.json → emptyPointRate）</t>
        </is>
      </c>
    </row>
    <row r="28">
      <c r="A28" s="3" t="inlineStr">
        <is>
          <t>每次扩容格数</t>
        </is>
      </c>
      <c r="B28" s="3" t="n">
        <v>2</v>
      </c>
      <c r="C28" s="3" t="inlineStr">
        <is>
          <t>首次扩容 10 元 / +2 格（对齐策划案 05 节节奏表）</t>
        </is>
      </c>
    </row>
    <row r="29">
      <c r="A29" s="3" t="inlineStr">
        <is>
          <t>每格成本(元)</t>
        </is>
      </c>
      <c r="B29" s="3" t="n">
        <v>5</v>
      </c>
      <c r="C29" s="3" t="inlineStr">
        <is>
          <t>背包容量 = 载具格数 + 已扩容格数</t>
        </is>
      </c>
    </row>
    <row r="30">
      <c r="A30" s="3" t="inlineStr">
        <is>
          <t>假点概率</t>
        </is>
      </c>
      <c r="B30" s="3" t="inlineStr">
        <is>
          <t>街头巷尾 0.20 / 商业街区 0.18 / 老旧小区 0.16 / 建设工地 0.15 / 老城区 0.14 / 城郊填埋场 0.12</t>
        </is>
      </c>
      <c r="C30" s="3" t="inlineStr">
        <is>
          <t>假点 = 已空的垃圾点，点击只提示「空空如也」</t>
        </is>
      </c>
    </row>
    <row r="32">
      <c r="A32" s="3" t="inlineStr">
        <is>
          <t>保底规则（对应 config/gacha.json → pity 与每款盲盒的 pityCounter）</t>
        </is>
      </c>
    </row>
    <row r="33">
      <c r="A33" s="3" t="inlineStr">
        <is>
          <t>目标档</t>
        </is>
      </c>
      <c r="B33" s="3" t="inlineStr">
        <is>
          <t>紫（pity.targetRarity）——金也视为达标</t>
        </is>
      </c>
    </row>
    <row r="34">
      <c r="A34" s="3" t="inlineStr">
        <is>
          <t>计数方式</t>
        </is>
      </c>
      <c r="B34" s="3" t="inlineStr">
        <is>
          <t>每盒独立计数（scope=per_box），抽到紫以上即清零（resetOnHit=true）</t>
        </is>
      </c>
    </row>
    <row r="35">
      <c r="A35" s="3" t="inlineStr">
        <is>
          <t>计数取值</t>
        </is>
      </c>
      <c r="B35" s="3" t="inlineStr">
        <is>
          <t>废品 150 / 家电 15 / 古董 10 / 记忆 15 / 限定 10 —— 判据是「含保底实测返还率 ≤ 65%」：保底那一次的收入不能超过凑够保底的累计成本，否则玩家只买保底就能刷钱（材料可卖成钱）</t>
        </is>
      </c>
    </row>
    <row r="36">
      <c r="A36" s="3" t="inlineStr">
        <is>
          <t>校验方式</t>
        </is>
      </c>
      <c r="B36" s="3" t="inlineStr">
        <is>
          <t>含保底实测返还率有解析解，由 `npm run check-config` 计算并校验（必须落 55%–65%）；config/gacha.json 的 returnRateWithPity 是该值的派生列</t>
        </is>
      </c>
    </row>
    <row r="37">
      <c r="A37" s="3" t="inlineStr">
        <is>
          <t>新手保护</t>
        </is>
      </c>
      <c r="B37" s="3" t="inlineStr">
        <is>
          <t>每账号首次开箱必出蓝以上，与保底相互独立</t>
        </is>
      </c>
    </row>
    <row r="38">
      <c r="A38" s="3" t="inlineStr">
        <is>
          <t>为什么便宜盒保底反而更远</t>
        </is>
      </c>
      <c r="B38" s="3" t="inlineStr">
        <is>
          <t>紫的材料回收价 120 元 = 废品盲盒售价的 12 倍，保底 10 抽的话「10×10 元成本 vs 120 元收入」结构性亏本；古董/限定盒紫金概率本来就高，10 抽几乎不会触发，所以取小值即可。</t>
        </is>
      </c>
    </row>
    <row r="40">
      <c r="A40" s="3" t="inlineStr">
        <is>
          <t>体力与恢复（对应 config/global.json → player）</t>
        </is>
      </c>
    </row>
    <row r="41">
      <c r="A41" s="3" t="inlineStr">
        <is>
          <t>初始 / 上限</t>
        </is>
      </c>
      <c r="B41" s="3" t="inlineStr">
        <is>
          <t>60 / 60</t>
        </is>
      </c>
    </row>
    <row r="42">
      <c r="A42" s="3" t="inlineStr">
        <is>
          <t>恢复速率</t>
        </is>
      </c>
      <c r="B42" s="3" t="inlineStr">
        <is>
          <t>0.5 点/分钟（30 点/小时）</t>
        </is>
      </c>
    </row>
    <row r="43">
      <c r="A43" s="3" t="inlineStr">
        <is>
          <t>满仓时长</t>
        </is>
      </c>
      <c r="B43" s="3" t="inlineStr">
        <is>
          <t>2 小时 = 上限 ÷ 速率。必须落在 90–240 分钟：低于 90 体力形同取消，高于 240 一天玩不到 3 次（原 0.125 点/分钟 = 8 小时，已按此判据调高）</t>
        </is>
      </c>
    </row>
    <row r="44">
      <c r="A44" s="3" t="inlineStr">
        <is>
          <t>离线封顶</t>
        </is>
      </c>
      <c r="B44" s="3" t="inlineStr">
        <is>
          <t>8 小时（offlineStaminaCapHours），必须 ≥ 满仓时长，否则玩家回来还没回满；上限 60 / 速率 0.5 时该封顶不会生效，仅作防御</t>
        </is>
      </c>
    </row>
    <row r="45">
      <c r="A45" s="3" t="inlineStr">
        <is>
          <t>单次会话用量</t>
        </is>
      </c>
      <c r="B45" s="3" t="inlineStr">
        <is>
          <t>一次会话 3–6 趟 ≈ 30–60 体力 ≈ 一个满仓，所以「满仓时长」就是两次会话之间的节奏</t>
        </is>
      </c>
    </row>
    <row r="46">
      <c r="A46" s="3" t="inlineStr">
        <is>
          <t>广告恢复</t>
        </is>
      </c>
      <c r="B46" s="3" t="inlineStr">
        <is>
          <t>30 点 / 次、每天 3 次（= 1 小时自然恢复量）</t>
        </is>
      </c>
    </row>
    <row r="47">
      <c r="A47" s="3" t="inlineStr">
        <is>
          <t>校验</t>
        </is>
      </c>
      <c r="B47" s="3" t="inlineStr">
        <is>
          <t>「满仓时长落在 90–240 分钟」与「满仓够跑至少 3 趟默认区域」两条由 `npm run check-config` 校验</t>
        </is>
      </c>
    </row>
    <row r="48">
      <c r="A48" s="3" t="inlineStr">
        <is>
          <t>调参提示</t>
        </is>
      </c>
      <c r="B48" s="3" t="inlineStr">
        <is>
          <t>调小速率 = 更强的体力墙（更依赖广告）；调大 = 更接近不限量。改完跑一次 check-config 确认满仓时长仍在区间内。</t>
        </is>
      </c>
    </row>
    <row r="50">
      <c r="A50" s="3" t="inlineStr">
        <is>
          <t>埋点与验收指标（对应 config/global.json → analytics）</t>
        </is>
      </c>
    </row>
    <row r="51">
      <c r="A51" s="3" t="inlineStr">
        <is>
          <t>事件名（定死）</t>
        </is>
      </c>
      <c r="B51" s="3" t="inlineStr">
        <is>
          <t>app_open · trip_complete · gacha_shelf_enter · gacha_buy · first_gacha_open · session_end</t>
        </is>
      </c>
    </row>
    <row r="52">
      <c r="A52" s="3" t="inlineStr">
        <is>
          <t>app_open</t>
        </is>
      </c>
      <c r="B52" s="3" t="inlineStr">
        <is>
          <t>每次启动；payload: isNewGame、savedAt（新档为 null）。D1 留存按它去重计算</t>
        </is>
      </c>
    </row>
    <row r="53">
      <c r="A53" s="3" t="inlineStr">
        <is>
          <t>trip_complete</t>
        </is>
      </c>
      <c r="B53" s="3" t="inlineStr">
        <is>
          <t>一趟完成；payload: zoneId、itemCount、sold、expGained</t>
        </is>
      </c>
    </row>
    <row r="54">
      <c r="A54" s="3" t="inlineStr">
        <is>
          <t>gacha_shelf_enter / gacha_buy</t>
        </is>
      </c>
      <c r="B54" s="3" t="inlineStr">
        <is>
          <t>进货架 / 买一次盒；购买转化 = gacha_buy ÷ gacha_shelf_enter（gacha_buy: boxId、price、isFirstBuy）</t>
        </is>
      </c>
    </row>
    <row r="55">
      <c r="A55" s="3" t="inlineStr">
        <is>
          <t>first_gacha_open</t>
        </is>
      </c>
      <c r="B55" s="3" t="inlineStr">
        <is>
          <t>每个账号只记一次；payload: elapsedMs（从首次进游戏起算）、boxId、rarity</t>
        </is>
      </c>
    </row>
    <row r="56">
      <c r="A56" s="3" t="inlineStr">
        <is>
          <t>session_end</t>
        </is>
      </c>
      <c r="B56" s="3" t="inlineStr">
        <is>
          <t>会话结束；payload: durationMs、trips、sold</t>
        </is>
      </c>
    </row>
    <row r="57">
      <c r="A57" s="3" t="inlineStr">
        <is>
          <t>本地可验收的 4 项</t>
        </is>
      </c>
      <c r="B57" s="3" t="inlineStr">
        <is>
          <t>单次会话时长 6–10 分钟 · 单次会话趟数 ≥3 · 首次开箱耗时 ≤12 分钟 · 货架→购买转化 ≥60%</t>
        </is>
      </c>
    </row>
    <row r="58">
      <c r="A58" s="3" t="inlineStr">
        <is>
          <t>另 2 项</t>
        </is>
      </c>
      <c r="B58" s="3" t="inlineStr">
        <is>
          <t>D1 留存 ≥35%、广告渗透率 ≥70% 需要多日 / 多账号数据，由分析平台按 app_open 去重后计算</t>
        </is>
      </c>
    </row>
    <row r="59">
      <c r="A59" s="3" t="inlineStr">
        <is>
          <t>怎么查看</t>
        </is>
      </c>
      <c r="B59" s="3" t="inlineStr">
        <is>
          <t>MVP 用本地日志：页面「埋点（本地日志）」卡片 + 浏览器本地存储。事件名与结构已定死，后面接分析平台不用返工</t>
        </is>
      </c>
    </row>
    <row r="61">
      <c r="A61" s="3" t="inlineStr">
        <is>
          <t>结算与货币精度（T6 垃圾场结算）</t>
        </is>
      </c>
    </row>
    <row r="62">
      <c r="A62" s="3" t="inlineStr">
        <is>
          <t>结算单唯一出处</t>
        </is>
      </c>
      <c r="B62" s="3" t="inlineStr">
        <is>
          <t>core/economy.settleBag —— 界面的每一个金额都取自它，不许自己再算一遍（T6 验收口径）</t>
        </is>
      </c>
    </row>
    <row r="63">
      <c r="A63" s="3" t="inlineStr">
        <is>
          <t>取整规则</t>
        </is>
      </c>
      <c r="B63" s="3" t="inlineStr">
        <is>
          <t>全程不取整：货币内部是精确浮点，显示统一保留两位小数（ui/format.ts）。逐件取整会把白档 0.68 元抹成 0；整趟取整会让「捡 6 个塑料瓶」变成 0 元 —— 两种都会废掉白档</t>
        </is>
      </c>
    </row>
    <row r="64">
      <c r="A64" s="3" t="inlineStr">
        <is>
          <t>入账时点</t>
        </is>
      </c>
      <c r="B64" s="3" t="inlineStr">
        <is>
          <t>回程即入账，称重动画只回放已入账的数字（先入账再播动画，中途关页也不会白跑一趟）</t>
        </is>
      </c>
    </row>
    <row r="65">
      <c r="A65" s="3" t="inlineStr">
        <is>
          <t>经验</t>
        </is>
      </c>
      <c r="B65" s="3" t="inlineStr">
        <is>
          <t>经验 = 合计金额 × level.expPerCurrency；等级与区域解锁随之刷新</t>
        </is>
      </c>
    </row>
    <row r="66">
      <c r="A66" s="3" t="inlineStr">
        <is>
          <t>跑商空间</t>
        </is>
      </c>
      <c r="B66" t="inlineStr">
        <is>
          <t>同一袋垃圾在不同区域的结算价不同（global.sell.zonePriceModifier 0.85–1.25），结算单里逐件展示三个系数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" customWidth="1" min="1" max="2"/>
    <col width="18" customWidth="1" min="3" max="3"/>
    <col width="13" customWidth="1" min="4" max="4"/>
    <col width="20" customWidth="1" min="5" max="5"/>
    <col width="3" customWidth="1" min="6" max="6"/>
    <col width="60" customWidth="1" min="7" max="7"/>
  </cols>
  <sheetData>
    <row r="1" ht="15.5" customHeight="1">
      <c r="A1" s="5" t="inlineStr">
        <is>
          <t>稀有度</t>
        </is>
      </c>
      <c r="B1" s="5" t="inlineStr">
        <is>
          <t>名称</t>
        </is>
      </c>
      <c r="C1" s="5" t="inlineStr">
        <is>
          <t>材料回收价(元/件)</t>
        </is>
      </c>
      <c r="D1" s="5" t="inlineStr">
        <is>
          <t>图鉴点(点)</t>
        </is>
      </c>
      <c r="E1" s="5" t="inlineStr">
        <is>
          <t>街头平均单件价(元)</t>
        </is>
      </c>
      <c r="G1" s="6" t="inlineStr">
        <is>
          <t>说明</t>
        </is>
      </c>
    </row>
    <row r="2" ht="15.5" customHeight="1">
      <c r="A2" s="7" t="inlineStr">
        <is>
          <t>白</t>
        </is>
      </c>
      <c r="B2" s="7" t="inlineStr">
        <is>
          <t>普通</t>
        </is>
      </c>
      <c r="C2" s="8" t="n">
        <v>1</v>
      </c>
      <c r="D2" s="9" t="n">
        <v>1</v>
      </c>
      <c r="E2" s="8" t="n">
        <v>0.05</v>
      </c>
      <c r="G2" s="2" t="inlineStr">
        <is>
          <t>「材料回收价」= 盲盒开出后可直接卖成钱的单价（返还率的分子）</t>
        </is>
      </c>
    </row>
    <row r="3" ht="15.5" customHeight="1">
      <c r="A3" s="7" t="inlineStr">
        <is>
          <t>绿</t>
        </is>
      </c>
      <c r="B3" s="7" t="inlineStr">
        <is>
          <t>优良</t>
        </is>
      </c>
      <c r="C3" s="8" t="n">
        <v>4</v>
      </c>
      <c r="D3" s="9" t="n">
        <v>6</v>
      </c>
      <c r="E3" s="8" t="n">
        <v>1</v>
      </c>
      <c r="G3" s="2" t="inlineStr">
        <is>
          <t>「图鉴点」= 藏品不可出售，只贡献图鉴进度，是长线目标</t>
        </is>
      </c>
    </row>
    <row r="4" ht="15.5" customHeight="1">
      <c r="A4" s="7" t="inlineStr">
        <is>
          <t>蓝</t>
        </is>
      </c>
      <c r="B4" s="7" t="inlineStr">
        <is>
          <t>稀有</t>
        </is>
      </c>
      <c r="C4" s="8" t="n">
        <v>18</v>
      </c>
      <c r="D4" s="9" t="n">
        <v>30</v>
      </c>
      <c r="E4" s="8" t="n">
        <v>15</v>
      </c>
      <c r="G4" s="2" t="inlineStr">
        <is>
          <t>「街头平均单件价」= 街头拾取到的该档物品平均值，用于区域收益估算</t>
        </is>
      </c>
    </row>
    <row r="5" ht="15" customHeight="1">
      <c r="A5" s="7" t="inlineStr">
        <is>
          <t>紫</t>
        </is>
      </c>
      <c r="B5" s="7" t="inlineStr">
        <is>
          <t>史诗</t>
        </is>
      </c>
      <c r="C5" s="8" t="n">
        <v>120</v>
      </c>
      <c r="D5" s="9" t="n">
        <v>150</v>
      </c>
      <c r="E5" s="8" t="n">
        <v>150</v>
      </c>
    </row>
    <row r="6" ht="15" customHeight="1">
      <c r="A6" s="7" t="inlineStr">
        <is>
          <t>金</t>
        </is>
      </c>
      <c r="B6" s="7" t="inlineStr">
        <is>
          <t>传说</t>
        </is>
      </c>
      <c r="C6" s="8" t="n">
        <v>600</v>
      </c>
      <c r="D6" s="9" t="n">
        <v>800</v>
      </c>
      <c r="E6" s="8" t="n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2" customWidth="1" min="1" max="1"/>
    <col width="10" customWidth="1" min="2" max="2"/>
    <col width="8" customWidth="1" min="3" max="7"/>
    <col width="15" customWidth="1" min="8" max="8"/>
    <col width="12" customWidth="1" min="9" max="10"/>
    <col width="14" customWidth="1" min="11" max="11"/>
    <col width="26" customWidth="1" min="12" max="12"/>
    <col width="18" customWidth="1" min="13" max="13"/>
  </cols>
  <sheetData>
    <row r="1" ht="15" customHeight="1">
      <c r="A1" s="5" t="inlineStr">
        <is>
          <t>盲盒名称</t>
        </is>
      </c>
      <c r="B1" s="5" t="inlineStr">
        <is>
          <t>售价(元)</t>
        </is>
      </c>
      <c r="C1" s="5" t="inlineStr">
        <is>
          <t>白</t>
        </is>
      </c>
      <c r="D1" s="5" t="inlineStr">
        <is>
          <t>绿</t>
        </is>
      </c>
      <c r="E1" s="5" t="inlineStr">
        <is>
          <t>蓝</t>
        </is>
      </c>
      <c r="F1" s="5" t="inlineStr">
        <is>
          <t>紫</t>
        </is>
      </c>
      <c r="G1" s="5" t="inlineStr">
        <is>
          <t>金</t>
        </is>
      </c>
      <c r="H1" s="5" t="inlineStr">
        <is>
          <t>概率合计(校验)</t>
        </is>
      </c>
      <c r="I1" s="5" t="inlineStr">
        <is>
          <t>货币EV(元)</t>
        </is>
      </c>
      <c r="J1" s="5" t="inlineStr">
        <is>
          <t>材料返还率</t>
        </is>
      </c>
      <c r="K1" s="5" t="inlineStr">
        <is>
          <t>图鉴点期望(点)</t>
        </is>
      </c>
      <c r="L1" s="5" t="inlineStr">
        <is>
          <t>定位</t>
        </is>
      </c>
      <c r="M1" s="5" t="inlineStr">
        <is>
          <t>保底计数（未出紫）</t>
        </is>
      </c>
    </row>
    <row r="2" ht="15" customHeight="1">
      <c r="A2" s="7" t="inlineStr">
        <is>
          <t>废品盲盒</t>
        </is>
      </c>
      <c r="B2" s="9" t="n">
        <v>10</v>
      </c>
      <c r="C2" s="22" t="n">
        <v>0.65</v>
      </c>
      <c r="D2" s="22" t="n">
        <v>0.26</v>
      </c>
      <c r="E2" s="22" t="n">
        <v>0.07000000000000001</v>
      </c>
      <c r="F2" s="22" t="n">
        <v>0.018</v>
      </c>
      <c r="G2" s="22" t="n">
        <v>0.002</v>
      </c>
      <c r="H2" s="23">
        <f>SUM(C2:G2)</f>
        <v>1</v>
      </c>
      <c r="I2" s="12">
        <f>C2*稀有度定义!$C$2+D2*稀有度定义!$C$3+E2*稀有度定义!$C$4+F2*稀有度定义!$C$5+G2*稀有度定义!$C$6</f>
        <v>6.31</v>
      </c>
      <c r="J2" s="23">
        <f>I2/B2</f>
        <v>0.631</v>
      </c>
      <c r="K2" s="24">
        <f>C2*稀有度定义!$D$2+D2*稀有度定义!$D$3+E2*稀有度定义!$D$4+F2*稀有度定义!$D$5+G2*稀有度定义!$D$6</f>
        <v>8.61</v>
      </c>
      <c r="L2" s="14" t="inlineStr">
        <is>
          <t>新手入门，随便赌</t>
        </is>
      </c>
      <c r="M2" s="9" t="n">
        <v>150</v>
      </c>
    </row>
    <row r="3" ht="15" customHeight="1">
      <c r="A3" s="7" t="inlineStr">
        <is>
          <t>家电盲盒</t>
        </is>
      </c>
      <c r="B3" s="9" t="n">
        <v>60</v>
      </c>
      <c r="C3" s="22" t="n">
        <v>0.2</v>
      </c>
      <c r="D3" s="22" t="n">
        <v>0.27</v>
      </c>
      <c r="E3" s="22" t="n">
        <v>0.38</v>
      </c>
      <c r="F3" s="22" t="n">
        <v>0.13</v>
      </c>
      <c r="G3" s="22" t="n">
        <v>0.02</v>
      </c>
      <c r="H3" s="23">
        <f>SUM(C3:G3)</f>
        <v>1</v>
      </c>
      <c r="I3" s="12">
        <f>C3*稀有度定义!$C$2+D3*稀有度定义!$C$3+E3*稀有度定义!$C$4+F3*稀有度定义!$C$5+G3*稀有度定义!$C$6</f>
        <v>35.72</v>
      </c>
      <c r="J3" s="23">
        <f>I3/B3</f>
        <v>0.5953333333</v>
      </c>
      <c r="K3" s="24">
        <f>C3*稀有度定义!$D$2+D3*稀有度定义!$D$3+E3*稀有度定义!$D$4+F3*稀有度定义!$D$5+G3*稀有度定义!$D$6</f>
        <v>48.72</v>
      </c>
      <c r="L3" s="14" t="inlineStr">
        <is>
          <t>主力款，出货体感最好</t>
        </is>
      </c>
      <c r="M3" s="9" t="n">
        <v>15</v>
      </c>
    </row>
    <row r="4" ht="15" customHeight="1">
      <c r="A4" s="7" t="inlineStr">
        <is>
          <t>古董盲盒</t>
        </is>
      </c>
      <c r="B4" s="9" t="n">
        <v>200</v>
      </c>
      <c r="C4" s="22" t="n">
        <v>0.04</v>
      </c>
      <c r="D4" s="22" t="n">
        <v>0.12</v>
      </c>
      <c r="E4" s="22" t="n">
        <v>0.3</v>
      </c>
      <c r="F4" s="22" t="n">
        <v>0.42</v>
      </c>
      <c r="G4" s="22" t="n">
        <v>0.12</v>
      </c>
      <c r="H4" s="23">
        <f>SUM(C4:G4)</f>
        <v>1</v>
      </c>
      <c r="I4" s="12">
        <f>C4*稀有度定义!$C$2+D4*稀有度定义!$C$3+E4*稀有度定义!$C$4+F4*稀有度定义!$C$5+G4*稀有度定义!$C$6</f>
        <v>128.32</v>
      </c>
      <c r="J4" s="23">
        <f>I4/B4</f>
        <v>0.6416</v>
      </c>
      <c r="K4" s="24">
        <f>C4*稀有度定义!$D$2+D4*稀有度定义!$D$3+E4*稀有度定义!$D$4+F4*稀有度定义!$D$5+G4*稀有度定义!$D$6</f>
        <v>168.76</v>
      </c>
      <c r="L4" s="14" t="inlineStr">
        <is>
          <t>高价值款，追紫金</t>
        </is>
      </c>
      <c r="M4" s="9" t="n">
        <v>10</v>
      </c>
    </row>
    <row r="5" ht="15" customHeight="1">
      <c r="A5" s="7" t="inlineStr">
        <is>
          <t>记忆盲盒</t>
        </is>
      </c>
      <c r="B5" s="9" t="n">
        <v>80</v>
      </c>
      <c r="C5" s="22" t="n">
        <v>0.2</v>
      </c>
      <c r="D5" s="22" t="n">
        <v>0.3</v>
      </c>
      <c r="E5" s="22" t="n">
        <v>0.3</v>
      </c>
      <c r="F5" s="22" t="n">
        <v>0.16</v>
      </c>
      <c r="G5" s="22" t="n">
        <v>0.04</v>
      </c>
      <c r="H5" s="23">
        <f>SUM(C5:G5)</f>
        <v>1</v>
      </c>
      <c r="I5" s="12">
        <f>C5*稀有度定义!$C$2+D5*稀有度定义!$C$3+E5*稀有度定义!$C$4+F5*稀有度定义!$C$5+G5*稀有度定义!$C$6</f>
        <v>50</v>
      </c>
      <c r="J5" s="23">
        <f>I5/B5</f>
        <v>0.625</v>
      </c>
      <c r="K5" s="24">
        <f>C5*稀有度定义!$D$2+D5*稀有度定义!$D$3+E5*稀有度定义!$D$4+F5*稀有度定义!$D$5+G5*稀有度定义!$D$6</f>
        <v>67</v>
      </c>
      <c r="L5" s="14" t="inlineStr">
        <is>
          <t>剧情专属，货币回报低</t>
        </is>
      </c>
      <c r="M5" s="9" t="n">
        <v>15</v>
      </c>
    </row>
    <row r="6" ht="15" customHeight="1">
      <c r="A6" s="7" t="inlineStr">
        <is>
          <t>限定盲盒</t>
        </is>
      </c>
      <c r="B6" s="9" t="n">
        <v>300</v>
      </c>
      <c r="C6" s="22" t="n">
        <v>0.02</v>
      </c>
      <c r="D6" s="22" t="n">
        <v>0.08</v>
      </c>
      <c r="E6" s="22" t="n">
        <v>0.25</v>
      </c>
      <c r="F6" s="22" t="n">
        <v>0.45</v>
      </c>
      <c r="G6" s="22" t="n">
        <v>0.2</v>
      </c>
      <c r="H6" s="23">
        <f>SUM(C6:G6)</f>
        <v>1</v>
      </c>
      <c r="I6" s="12">
        <f>C6*稀有度定义!$C$2+D6*稀有度定义!$C$3+E6*稀有度定义!$C$4+F6*稀有度定义!$C$5+G6*稀有度定义!$C$6</f>
        <v>178.84</v>
      </c>
      <c r="J6" s="23">
        <f>I6/B6</f>
        <v>0.5961333333</v>
      </c>
      <c r="K6" s="24">
        <f>C6*稀有度定义!$D$2+D6*稀有度定义!$D$3+E6*稀有度定义!$D$4+F6*稀有度定义!$D$5+G6*稀有度定义!$D$6</f>
        <v>235.5</v>
      </c>
      <c r="L6" s="14" t="inlineStr">
        <is>
          <t>活动限定，含绝版外观</t>
        </is>
      </c>
      <c r="M6" s="9" t="n">
        <v>10</v>
      </c>
    </row>
    <row r="8" ht="15.5" customHeight="1">
      <c r="A8" s="6" t="inlineStr">
        <is>
          <t>校验与调参</t>
        </is>
      </c>
    </row>
    <row r="9" ht="15.5" customHeight="1">
      <c r="A9" s="2" t="inlineStr">
        <is>
          <t>①「概率合计」必须 = 100%，否则概率配置有误。</t>
        </is>
      </c>
    </row>
    <row r="10" ht="15.5" customHeight="1">
      <c r="A10" s="2" t="inlineStr">
        <is>
          <t>②「材料返还率」目标 55%–65%：差额由「图鉴点期望 + 保底 + 新手保护」在体感上补足。</t>
        </is>
      </c>
    </row>
    <row r="11" ht="15.5" customHeight="1">
      <c r="A11" s="2" t="inlineStr">
        <is>
          <t>③ 货币EV = Σ(各档概率 × 材料回收价)，已按售价折算返还率；改「稀有度定义」会自动联动。</t>
        </is>
      </c>
    </row>
    <row r="12" ht="15.5" customHeight="1">
      <c r="A12" s="2" t="inlineStr">
        <is>
          <t>④ 新手保护：玩家首次开箱必出蓝以上，不受本表概率约束（单独逻辑）。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2" customWidth="1" min="1" max="1"/>
    <col width="10" customWidth="1" min="2" max="2"/>
    <col width="14" customWidth="1" min="3" max="3"/>
    <col width="13" customWidth="1" min="4" max="4"/>
    <col width="15" customWidth="1" min="5" max="5"/>
    <col width="10" customWidth="1" min="6" max="6"/>
    <col width="30" customWidth="1" min="7" max="7"/>
    <col width="46" customWidth="1" min="8" max="8"/>
  </cols>
  <sheetData>
    <row r="1" ht="15" customHeight="1">
      <c r="A1" s="5" t="inlineStr">
        <is>
          <t>品类</t>
        </is>
      </c>
      <c r="B1" s="5" t="inlineStr">
        <is>
          <t>稀有度</t>
        </is>
      </c>
      <c r="C1" s="5" t="inlineStr">
        <is>
          <t>主要区域</t>
        </is>
      </c>
      <c r="D1" s="5" t="inlineStr">
        <is>
          <t>重量(kg/件)</t>
        </is>
      </c>
      <c r="E1" s="5" t="inlineStr">
        <is>
          <t>回收单价(元/件)</t>
        </is>
      </c>
      <c r="F1" s="5" t="inlineStr">
        <is>
          <t>占用格数</t>
        </is>
      </c>
      <c r="G1" s="5" t="inlineStr">
        <is>
          <t>备注</t>
        </is>
      </c>
      <c r="H1" s="5" t="inlineStr">
        <is>
          <t>区域 id（供 config 映射）</t>
        </is>
      </c>
    </row>
    <row r="2" ht="15" customHeight="1">
      <c r="A2" s="7" t="inlineStr">
        <is>
          <t>塑料瓶</t>
        </is>
      </c>
      <c r="B2" s="15" t="inlineStr">
        <is>
          <t>白</t>
        </is>
      </c>
      <c r="C2" s="7" t="inlineStr">
        <is>
          <t>全区</t>
        </is>
      </c>
      <c r="D2" s="16" t="n">
        <v>0.03</v>
      </c>
      <c r="E2" s="8" t="n">
        <v>0.05</v>
      </c>
      <c r="F2" s="7" t="n">
        <v>1</v>
      </c>
      <c r="G2" s="14" t="inlineStr">
        <is>
          <t>最基础，量大</t>
        </is>
      </c>
      <c r="H2" s="14" t="inlineStr">
        <is>
          <t>all</t>
        </is>
      </c>
    </row>
    <row r="3" ht="15" customHeight="1">
      <c r="A3" s="7" t="inlineStr">
        <is>
          <t>易拉罐</t>
        </is>
      </c>
      <c r="B3" s="15" t="inlineStr">
        <is>
          <t>白</t>
        </is>
      </c>
      <c r="C3" s="7" t="inlineStr">
        <is>
          <t>全区</t>
        </is>
      </c>
      <c r="D3" s="16" t="n">
        <v>0.02</v>
      </c>
      <c r="E3" s="8" t="n">
        <v>0.08</v>
      </c>
      <c r="F3" s="7" t="n">
        <v>1</v>
      </c>
      <c r="G3" s="14" t="inlineStr">
        <is>
          <t>老王日常任务指定物</t>
        </is>
      </c>
      <c r="H3" s="14" t="inlineStr">
        <is>
          <t>all</t>
        </is>
      </c>
    </row>
    <row r="4" ht="15" customHeight="1">
      <c r="A4" s="7" t="inlineStr">
        <is>
          <t>传单纸</t>
        </is>
      </c>
      <c r="B4" s="15" t="inlineStr">
        <is>
          <t>白</t>
        </is>
      </c>
      <c r="C4" s="7" t="inlineStr">
        <is>
          <t>商业街区</t>
        </is>
      </c>
      <c r="D4" s="16" t="n">
        <v>0.01</v>
      </c>
      <c r="E4" s="8" t="n">
        <v>0.02</v>
      </c>
      <c r="F4" s="7" t="n">
        <v>1</v>
      </c>
      <c r="G4" s="14" t="inlineStr">
        <is>
          <t>几乎不值钱，占格子</t>
        </is>
      </c>
      <c r="H4" s="14" t="inlineStr">
        <is>
          <t>shopping_street</t>
        </is>
      </c>
    </row>
    <row r="5" ht="15" customHeight="1">
      <c r="A5" s="7" t="inlineStr">
        <is>
          <t>废纸箱</t>
        </is>
      </c>
      <c r="B5" s="17" t="inlineStr">
        <is>
          <t>绿</t>
        </is>
      </c>
      <c r="C5" s="7" t="inlineStr">
        <is>
          <t>商业街区</t>
        </is>
      </c>
      <c r="D5" s="16" t="n">
        <v>0.5</v>
      </c>
      <c r="E5" s="8" t="n">
        <v>0.6</v>
      </c>
      <c r="F5" s="7" t="n">
        <v>1</v>
      </c>
      <c r="G5" s="14" t="inlineStr">
        <is>
          <t>量大，需拆解</t>
        </is>
      </c>
      <c r="H5" s="14" t="inlineStr">
        <is>
          <t>shopping_street</t>
        </is>
      </c>
    </row>
    <row r="6" ht="15" customHeight="1">
      <c r="A6" s="7" t="inlineStr">
        <is>
          <t>玻璃瓶</t>
        </is>
      </c>
      <c r="B6" s="17" t="inlineStr">
        <is>
          <t>绿</t>
        </is>
      </c>
      <c r="C6" s="7" t="inlineStr">
        <is>
          <t>老旧小区</t>
        </is>
      </c>
      <c r="D6" s="16" t="n">
        <v>0.4</v>
      </c>
      <c r="E6" s="8" t="n">
        <v>0.5</v>
      </c>
      <c r="F6" s="7" t="n">
        <v>1</v>
      </c>
      <c r="G6" s="14" t="inlineStr">
        <is>
          <t>易碎，掉落率受手套影响</t>
        </is>
      </c>
      <c r="H6" s="14" t="inlineStr">
        <is>
          <t>old_apartment</t>
        </is>
      </c>
    </row>
    <row r="7" ht="15" customHeight="1">
      <c r="A7" s="7" t="inlineStr">
        <is>
          <t>旧衣服</t>
        </is>
      </c>
      <c r="B7" s="17" t="inlineStr">
        <is>
          <t>绿</t>
        </is>
      </c>
      <c r="C7" s="7" t="inlineStr">
        <is>
          <t>老旧小区</t>
        </is>
      </c>
      <c r="D7" s="16" t="n">
        <v>0.6</v>
      </c>
      <c r="E7" s="8" t="n">
        <v>1.2</v>
      </c>
      <c r="F7" s="7" t="n">
        <v>1</v>
      </c>
      <c r="G7" s="14" t="inlineStr">
        <is>
          <t>轻，性价比不错</t>
        </is>
      </c>
      <c r="H7" s="14" t="inlineStr">
        <is>
          <t>old_apartment</t>
        </is>
      </c>
    </row>
    <row r="8" ht="15" customHeight="1">
      <c r="A8" s="7" t="inlineStr">
        <is>
          <t>废旧轮胎</t>
        </is>
      </c>
      <c r="B8" s="17" t="inlineStr">
        <is>
          <t>绿</t>
        </is>
      </c>
      <c r="C8" s="7" t="inlineStr">
        <is>
          <t>建设工地</t>
        </is>
      </c>
      <c r="D8" s="16" t="n">
        <v>6</v>
      </c>
      <c r="E8" s="8" t="n">
        <v>4</v>
      </c>
      <c r="F8" s="7" t="n">
        <v>2</v>
      </c>
      <c r="G8" s="14" t="inlineStr">
        <is>
          <t>极重，占 2 格</t>
        </is>
      </c>
      <c r="H8" s="14" t="inlineStr">
        <is>
          <t>construction_site</t>
        </is>
      </c>
    </row>
    <row r="9" ht="15" customHeight="1">
      <c r="A9" s="7" t="inlineStr">
        <is>
          <t>藤编旧筐</t>
        </is>
      </c>
      <c r="B9" s="17" t="inlineStr">
        <is>
          <t>绿</t>
        </is>
      </c>
      <c r="C9" s="7" t="inlineStr">
        <is>
          <t>街头巷尾、老城区、城郊填埋场</t>
        </is>
      </c>
      <c r="D9" s="16" t="n">
        <v>0.6</v>
      </c>
      <c r="E9" s="8" t="n">
        <v>1</v>
      </c>
      <c r="F9" s="7" t="n">
        <v>1</v>
      </c>
      <c r="G9" s="14" t="inlineStr">
        <is>
          <t>补齐街头巷尾/老城区/填埋场的绿档空缺</t>
        </is>
      </c>
      <c r="H9" s="14" t="inlineStr">
        <is>
          <t>street_alley,old_town,landfill</t>
        </is>
      </c>
    </row>
    <row r="10" ht="15" customHeight="1">
      <c r="A10" s="7" t="inlineStr">
        <is>
          <t>破铜线</t>
        </is>
      </c>
      <c r="B10" s="18" t="inlineStr">
        <is>
          <t>蓝</t>
        </is>
      </c>
      <c r="C10" s="7" t="inlineStr">
        <is>
          <t>建设工地</t>
        </is>
      </c>
      <c r="D10" s="16" t="n">
        <v>0.2</v>
      </c>
      <c r="E10" s="8" t="n">
        <v>6</v>
      </c>
      <c r="F10" s="7" t="n">
        <v>1</v>
      </c>
      <c r="G10" s="14" t="inlineStr">
        <is>
          <t>工地特产，轻且值钱</t>
        </is>
      </c>
      <c r="H10" s="14" t="inlineStr">
        <is>
          <t>construction_site</t>
        </is>
      </c>
    </row>
    <row r="11" ht="15" customHeight="1">
      <c r="A11" s="7" t="inlineStr">
        <is>
          <t>旧手机</t>
        </is>
      </c>
      <c r="B11" s="18" t="inlineStr">
        <is>
          <t>蓝</t>
        </is>
      </c>
      <c r="C11" s="7" t="inlineStr">
        <is>
          <t>老旧小区</t>
        </is>
      </c>
      <c r="D11" s="16" t="n">
        <v>0.18</v>
      </c>
      <c r="E11" s="8" t="n">
        <v>15</v>
      </c>
      <c r="F11" s="7" t="n">
        <v>1</v>
      </c>
      <c r="G11" s="14" t="inlineStr">
        <is>
          <t>小区特产</t>
        </is>
      </c>
      <c r="H11" s="14" t="inlineStr">
        <is>
          <t>old_apartment</t>
        </is>
      </c>
    </row>
    <row r="12" ht="15" customHeight="1">
      <c r="A12" s="7" t="inlineStr">
        <is>
          <t>旧家电</t>
        </is>
      </c>
      <c r="B12" s="18" t="inlineStr">
        <is>
          <t>蓝</t>
        </is>
      </c>
      <c r="C12" s="7" t="inlineStr">
        <is>
          <t>老旧小区</t>
        </is>
      </c>
      <c r="D12" s="16" t="n">
        <v>3.5</v>
      </c>
      <c r="E12" s="8" t="n">
        <v>25</v>
      </c>
      <c r="F12" s="7" t="n">
        <v>3</v>
      </c>
      <c r="G12" s="14" t="inlineStr">
        <is>
          <t>占 3 格，需三轮车</t>
        </is>
      </c>
      <c r="H12" s="14" t="inlineStr">
        <is>
          <t>old_apartment</t>
        </is>
      </c>
    </row>
    <row r="13" ht="15" customHeight="1">
      <c r="A13" s="7" t="inlineStr">
        <is>
          <t>旧收音机</t>
        </is>
      </c>
      <c r="B13" s="18" t="inlineStr">
        <is>
          <t>蓝</t>
        </is>
      </c>
      <c r="C13" s="7" t="inlineStr">
        <is>
          <t>街头巷尾、商业街区、老城区、城郊填埋场</t>
        </is>
      </c>
      <c r="D13" s="16" t="n">
        <v>0.35</v>
      </c>
      <c r="E13" s="8" t="n">
        <v>15</v>
      </c>
      <c r="F13" s="7" t="n">
        <v>1</v>
      </c>
      <c r="G13" s="14" t="inlineStr">
        <is>
          <t>补齐四处区域的蓝档空缺（老旧小区已有蓝档）</t>
        </is>
      </c>
      <c r="H13" s="14" t="inlineStr">
        <is>
          <t>street_alley,shopping_street,old_town,landfill</t>
        </is>
      </c>
    </row>
    <row r="14" ht="15" customHeight="1">
      <c r="A14" s="7" t="inlineStr">
        <is>
          <t>二手相机</t>
        </is>
      </c>
      <c r="B14" s="19" t="inlineStr">
        <is>
          <t>紫</t>
        </is>
      </c>
      <c r="C14" s="7" t="inlineStr">
        <is>
          <t>老城区</t>
        </is>
      </c>
      <c r="D14" s="16" t="n">
        <v>0.45</v>
      </c>
      <c r="E14" s="8" t="n">
        <v>120</v>
      </c>
      <c r="F14" s="7" t="n">
        <v>1</v>
      </c>
      <c r="G14" s="14" t="inlineStr">
        <is>
          <t>老城区高发</t>
        </is>
      </c>
      <c r="H14" s="14" t="inlineStr">
        <is>
          <t>old_town</t>
        </is>
      </c>
    </row>
    <row r="15" ht="15" customHeight="1">
      <c r="A15" s="7" t="inlineStr">
        <is>
          <t>古董瓷碗</t>
        </is>
      </c>
      <c r="B15" s="19" t="inlineStr">
        <is>
          <t>紫</t>
        </is>
      </c>
      <c r="C15" s="7" t="inlineStr">
        <is>
          <t>老城区</t>
        </is>
      </c>
      <c r="D15" s="16" t="n">
        <v>0.6</v>
      </c>
      <c r="E15" s="8" t="n">
        <v>180</v>
      </c>
      <c r="F15" s="7" t="n">
        <v>1</v>
      </c>
      <c r="G15" s="14" t="inlineStr">
        <is>
          <t>需手套，易碎</t>
        </is>
      </c>
      <c r="H15" s="14" t="inlineStr">
        <is>
          <t>old_town</t>
        </is>
      </c>
    </row>
    <row r="16" ht="15" customHeight="1">
      <c r="A16" s="7" t="inlineStr">
        <is>
          <t>老唱片</t>
        </is>
      </c>
      <c r="B16" s="19" t="inlineStr">
        <is>
          <t>紫</t>
        </is>
      </c>
      <c r="C16" s="7" t="inlineStr">
        <is>
          <t>商业街区</t>
        </is>
      </c>
      <c r="D16" s="16" t="n">
        <v>0.3</v>
      </c>
      <c r="E16" s="8" t="n">
        <v>150</v>
      </c>
      <c r="F16" s="7" t="n">
        <v>1</v>
      </c>
      <c r="G16" s="14" t="inlineStr">
        <is>
          <t>稀有，收藏党关注</t>
        </is>
      </c>
      <c r="H16" s="14" t="inlineStr">
        <is>
          <t>shopping_street</t>
        </is>
      </c>
    </row>
    <row r="17">
      <c r="A17" s="7" t="inlineStr">
        <is>
          <t>老式座钟</t>
        </is>
      </c>
      <c r="B17" s="19" t="inlineStr">
        <is>
          <t>紫</t>
        </is>
      </c>
      <c r="C17" s="7" t="inlineStr">
        <is>
          <t>街头巷尾、老旧小区</t>
        </is>
      </c>
      <c r="D17" s="16" t="n">
        <v>3</v>
      </c>
      <c r="E17" s="8" t="n">
        <v>150</v>
      </c>
      <c r="F17" s="7" t="n">
        <v>2</v>
      </c>
      <c r="G17" s="14" t="inlineStr">
        <is>
          <t>补齐街头巷尾/老旧小区的紫档空缺</t>
        </is>
      </c>
      <c r="H17" s="5" t="inlineStr">
        <is>
          <t>street_alley,old_apartment</t>
        </is>
      </c>
    </row>
    <row r="18">
      <c r="A18" s="7" t="inlineStr">
        <is>
          <t>黄铜阀门</t>
        </is>
      </c>
      <c r="B18" s="19" t="inlineStr">
        <is>
          <t>紫</t>
        </is>
      </c>
      <c r="C18" s="7" t="inlineStr">
        <is>
          <t>建设工地、城郊填埋场</t>
        </is>
      </c>
      <c r="D18" s="16" t="n">
        <v>2.5</v>
      </c>
      <c r="E18" s="8" t="n">
        <v>150</v>
      </c>
      <c r="F18" s="7" t="n">
        <v>2</v>
      </c>
      <c r="G18" s="14" t="inlineStr">
        <is>
          <t>补齐建设工地/填埋场的紫档空缺，重但值钱</t>
        </is>
      </c>
      <c r="H18" s="5" t="inlineStr">
        <is>
          <t>construction_site,landfill</t>
        </is>
      </c>
    </row>
    <row r="19">
      <c r="A19" s="7" t="inlineStr">
        <is>
          <t>绝版球鞋</t>
        </is>
      </c>
      <c r="B19" s="20" t="inlineStr">
        <is>
          <t>金</t>
        </is>
      </c>
      <c r="C19" s="7" t="inlineStr">
        <is>
          <t>老旧小区</t>
        </is>
      </c>
      <c r="D19" s="16" t="n">
        <v>0.8</v>
      </c>
      <c r="E19" s="8" t="n">
        <v>500</v>
      </c>
      <c r="F19" s="7" t="n">
        <v>1</v>
      </c>
      <c r="G19" s="14" t="inlineStr">
        <is>
          <t>出现率极低</t>
        </is>
      </c>
      <c r="H19" s="5" t="inlineStr">
        <is>
          <t>old_apartment</t>
        </is>
      </c>
    </row>
    <row r="20">
      <c r="A20" s="7" t="inlineStr">
        <is>
          <t>名家字画</t>
        </is>
      </c>
      <c r="B20" s="20" t="inlineStr">
        <is>
          <t>金</t>
        </is>
      </c>
      <c r="C20" s="7" t="inlineStr">
        <is>
          <t>老城区</t>
        </is>
      </c>
      <c r="D20" s="16" t="n">
        <v>0.3</v>
      </c>
      <c r="E20" s="8" t="n">
        <v>1200</v>
      </c>
      <c r="F20" s="7" t="n">
        <v>1</v>
      </c>
      <c r="G20" s="14" t="inlineStr">
        <is>
          <t>全游戏最高单价，极稀有</t>
        </is>
      </c>
      <c r="H20" s="5" t="inlineStr">
        <is>
          <t>old_town</t>
        </is>
      </c>
    </row>
    <row r="21">
      <c r="A21" s="7" t="inlineStr">
        <is>
          <t>旧金戒指</t>
        </is>
      </c>
      <c r="B21" s="20" t="inlineStr">
        <is>
          <t>金</t>
        </is>
      </c>
      <c r="C21" s="7" t="inlineStr">
        <is>
          <t>街头巷尾、商业街区</t>
        </is>
      </c>
      <c r="D21" s="16" t="n">
        <v>0.02</v>
      </c>
      <c r="E21" s="8" t="n">
        <v>700</v>
      </c>
      <c r="F21" s="7" t="n">
        <v>1</v>
      </c>
      <c r="G21" s="14" t="inlineStr">
        <is>
          <t>补齐街头巷尾/商业街区的金档空缺</t>
        </is>
      </c>
      <c r="H21" s="5" t="inlineStr">
        <is>
          <t>street_alley,shopping_street</t>
        </is>
      </c>
    </row>
    <row r="22">
      <c r="A22" s="7" t="inlineStr">
        <is>
          <t>老怀表</t>
        </is>
      </c>
      <c r="B22" s="20" t="inlineStr">
        <is>
          <t>金</t>
        </is>
      </c>
      <c r="C22" s="7" t="inlineStr">
        <is>
          <t>建设工地、城郊填埋场</t>
        </is>
      </c>
      <c r="D22" s="16" t="n">
        <v>0.1</v>
      </c>
      <c r="E22" s="8" t="n">
        <v>700</v>
      </c>
      <c r="F22" s="7" t="n">
        <v>1</v>
      </c>
      <c r="G22" s="14" t="inlineStr">
        <is>
          <t>补齐建设工地/填埋场的金档空缺</t>
        </is>
      </c>
      <c r="H22" s="5" t="inlineStr">
        <is>
          <t>construction_site,landfill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3" customWidth="1" min="1" max="1"/>
    <col width="10" customWidth="1" min="2" max="3"/>
    <col width="20" customWidth="1" min="4" max="4"/>
    <col width="8" customWidth="1" min="5" max="9"/>
    <col width="15" customWidth="1" min="10" max="10"/>
    <col width="22" customWidth="1" min="11" max="11"/>
    <col width="12" customWidth="1" min="13" max="13"/>
  </cols>
  <sheetData>
    <row r="1" ht="15" customHeight="1">
      <c r="A1" s="5" t="inlineStr">
        <is>
          <t>区域</t>
        </is>
      </c>
      <c r="B1" s="5" t="inlineStr">
        <is>
          <t>解锁等级</t>
        </is>
      </c>
      <c r="C1" s="5" t="inlineStr">
        <is>
          <t>单趟体力</t>
        </is>
      </c>
      <c r="D1" s="5" t="inlineStr">
        <is>
          <t>平均单件价值(元/件)</t>
        </is>
      </c>
      <c r="E1" s="5" t="inlineStr">
        <is>
          <t>白</t>
        </is>
      </c>
      <c r="F1" s="5" t="inlineStr">
        <is>
          <t>绿</t>
        </is>
      </c>
      <c r="G1" s="5" t="inlineStr">
        <is>
          <t>蓝</t>
        </is>
      </c>
      <c r="H1" s="5" t="inlineStr">
        <is>
          <t>紫</t>
        </is>
      </c>
      <c r="I1" s="5" t="inlineStr">
        <is>
          <t>金</t>
        </is>
      </c>
      <c r="J1" s="5" t="inlineStr">
        <is>
          <t>概率合计(校验)</t>
        </is>
      </c>
      <c r="K1" s="5" t="inlineStr">
        <is>
          <t>每体力收益(元/体力,@12格)</t>
        </is>
      </c>
      <c r="L1" s="5" t="inlineStr">
        <is>
          <t>垃圾特征</t>
        </is>
      </c>
      <c r="M1" s="5" t="inlineStr">
        <is>
          <t>假点概率</t>
        </is>
      </c>
    </row>
    <row r="2" ht="15" customHeight="1">
      <c r="A2" s="7" t="inlineStr">
        <is>
          <t>街头巷尾</t>
        </is>
      </c>
      <c r="B2" s="7" t="n">
        <v>1</v>
      </c>
      <c r="C2" s="9" t="n">
        <v>10</v>
      </c>
      <c r="D2" s="25">
        <f>E2*稀有度定义!$E$2+F2*稀有度定义!$E$3+G2*稀有度定义!$E$4+H2*稀有度定义!$E$5+I2*稀有度定义!$E$6</f>
        <v>1.5</v>
      </c>
      <c r="E2" s="22" t="n">
        <v>0.62</v>
      </c>
      <c r="F2" s="22" t="n">
        <v>0.3409285714285715</v>
      </c>
      <c r="G2" s="22" t="n">
        <v>0.03587142857142856</v>
      </c>
      <c r="H2" s="22" t="n">
        <v>0.003</v>
      </c>
      <c r="I2" s="22" t="n">
        <v>0.0002</v>
      </c>
      <c r="J2" s="23">
        <f>SUM(E2:I2)</f>
        <v>1</v>
      </c>
      <c r="K2" s="12">
        <f>D2*12/C2</f>
        <v>1.8</v>
      </c>
      <c r="M2" s="22" t="n">
        <v>0.2</v>
      </c>
    </row>
    <row r="3" ht="15" customHeight="1">
      <c r="A3" s="7" t="inlineStr">
        <is>
          <t>商业街区</t>
        </is>
      </c>
      <c r="B3" s="7" t="n">
        <v>3</v>
      </c>
      <c r="C3" s="9" t="n">
        <v>14</v>
      </c>
      <c r="D3" s="25">
        <f>E3*稀有度定义!$E$2+F3*稀有度定义!$E$3+G3*稀有度定义!$E$4+H3*稀有度定义!$E$5+I3*稀有度定义!$E$6</f>
        <v>2.2166666667</v>
      </c>
      <c r="E3" s="22" t="n">
        <v>0.5600000000000001</v>
      </c>
      <c r="F3" s="22" t="n">
        <v>0.3828809523809523</v>
      </c>
      <c r="G3" s="22" t="n">
        <v>0.0517190476190476</v>
      </c>
      <c r="H3" s="22" t="n">
        <v>0.005</v>
      </c>
      <c r="I3" s="22" t="n">
        <v>0.0004</v>
      </c>
      <c r="J3" s="23">
        <f>SUM(E3:I3)</f>
        <v>1</v>
      </c>
      <c r="K3" s="12">
        <f>D3*12/C3</f>
        <v>1.9</v>
      </c>
      <c r="M3" s="22" t="n">
        <v>0.18</v>
      </c>
    </row>
    <row r="4" ht="15" customHeight="1">
      <c r="A4" s="7" t="inlineStr">
        <is>
          <t>老旧小区</t>
        </is>
      </c>
      <c r="B4" s="7" t="n">
        <v>6</v>
      </c>
      <c r="C4" s="9" t="n">
        <v>18</v>
      </c>
      <c r="D4" s="25">
        <f>E4*稀有度定义!$E$2+F4*稀有度定义!$E$3+G4*稀有度定义!$E$4+H4*稀有度定义!$E$5+I4*稀有度定义!$E$6</f>
        <v>3</v>
      </c>
      <c r="E4" s="22" t="n">
        <v>0.5</v>
      </c>
      <c r="F4" s="22" t="n">
        <v>0.4297142857142857</v>
      </c>
      <c r="G4" s="22" t="n">
        <v>0.0616857142857143</v>
      </c>
      <c r="H4" s="22" t="n">
        <v>0.008</v>
      </c>
      <c r="I4" s="22" t="n">
        <v>0.0005999999999999999</v>
      </c>
      <c r="J4" s="23">
        <f>SUM(E4:I4)</f>
        <v>1</v>
      </c>
      <c r="K4" s="12">
        <f>D4*12/C4</f>
        <v>2</v>
      </c>
      <c r="M4" s="22" t="n">
        <v>0.16</v>
      </c>
    </row>
    <row r="5" ht="15" customHeight="1">
      <c r="A5" s="7" t="inlineStr">
        <is>
          <t>建设工地</t>
        </is>
      </c>
      <c r="B5" s="7" t="n">
        <v>10</v>
      </c>
      <c r="C5" s="9" t="n">
        <v>24</v>
      </c>
      <c r="D5" s="25">
        <f>E5*稀有度定义!$E$2+F5*稀有度定义!$E$3+G5*稀有度定义!$E$4+H5*稀有度定义!$E$5+I5*稀有度定义!$E$6</f>
        <v>4.24</v>
      </c>
      <c r="E5" s="22" t="n">
        <v>0.44</v>
      </c>
      <c r="F5" s="22" t="n">
        <v>0.4633571428571429</v>
      </c>
      <c r="G5" s="22" t="n">
        <v>0.08364285714285716</v>
      </c>
      <c r="H5" s="22" t="n">
        <v>0.012</v>
      </c>
      <c r="I5" s="22" t="n">
        <v>0.001</v>
      </c>
      <c r="J5" s="23">
        <f>SUM(E5:I5)</f>
        <v>1</v>
      </c>
      <c r="K5" s="12">
        <f>D5*12/C5</f>
        <v>2.12</v>
      </c>
      <c r="M5" s="22" t="n">
        <v>0.15</v>
      </c>
    </row>
    <row r="6" ht="15" customHeight="1">
      <c r="A6" s="7" t="inlineStr">
        <is>
          <t>老城区</t>
        </is>
      </c>
      <c r="B6" s="7" t="n">
        <v>15</v>
      </c>
      <c r="C6" s="9" t="n">
        <v>30</v>
      </c>
      <c r="D6" s="25">
        <f>E6*稀有度定义!$E$2+F6*稀有度定义!$E$3+G6*稀有度定义!$E$4+H6*稀有度定义!$E$5+I6*稀有度定义!$E$6</f>
        <v>5.6</v>
      </c>
      <c r="E6" s="22" t="n">
        <v>0.39</v>
      </c>
      <c r="F6" s="22" t="n">
        <v>0.5019285714285714</v>
      </c>
      <c r="G6" s="22" t="n">
        <v>0.08857142857142861</v>
      </c>
      <c r="H6" s="22" t="n">
        <v>0.018</v>
      </c>
      <c r="I6" s="22" t="n">
        <v>0.0015</v>
      </c>
      <c r="J6" s="23">
        <f>SUM(E6:I6)</f>
        <v>1</v>
      </c>
      <c r="K6" s="12">
        <f>D6*12/C6</f>
        <v>2.24</v>
      </c>
      <c r="M6" s="22" t="n">
        <v>0.14</v>
      </c>
    </row>
    <row r="7" ht="15" customHeight="1">
      <c r="A7" s="7" t="inlineStr">
        <is>
          <t>城郊填埋场</t>
        </is>
      </c>
      <c r="B7" s="7" t="n">
        <v>20</v>
      </c>
      <c r="C7" s="9" t="n">
        <v>40</v>
      </c>
      <c r="D7" s="25">
        <f>E7*稀有度定义!$E$2+F7*稀有度定义!$E$3+G7*稀有度定义!$E$4+H7*稀有度定义!$E$5+I7*稀有度定义!$E$6</f>
        <v>7.8333333333</v>
      </c>
      <c r="E7" s="22" t="n">
        <v>0.34</v>
      </c>
      <c r="F7" s="22" t="n">
        <v>0.4877619047619047</v>
      </c>
      <c r="G7" s="22" t="n">
        <v>0.1452380952380952</v>
      </c>
      <c r="H7" s="22" t="n">
        <v>0.025</v>
      </c>
      <c r="I7" s="22" t="n">
        <v>0.002</v>
      </c>
      <c r="J7" s="23">
        <f>SUM(E7:I7)</f>
        <v>1</v>
      </c>
      <c r="K7" s="12">
        <f>D7*12/C7</f>
        <v>2.35</v>
      </c>
      <c r="M7" s="22" t="n">
        <v>0.12</v>
      </c>
    </row>
    <row r="9" ht="15.5" customHeight="1">
      <c r="A9" s="2" t="inlineStr">
        <is>
          <t>调参提示：相邻两区域的「每体力收益」差距建议 ≤ 10%，否则新区域一开旧区域就作废（本表已按 +5.6%/档 生成）。</t>
        </is>
      </c>
    </row>
    <row r="10" ht="15.5" customHeight="1">
      <c r="A10" s="2" t="inlineStr">
        <is>
          <t>模型说明：区域决定「捡到什么」（稀有度分布 → 平均单件价值），载具格数决定「一趟能带多少」，两者相乘才是单趟收益。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7" customWidth="1" min="1" max="1"/>
    <col width="11" customWidth="1" min="2" max="3"/>
    <col width="13" customWidth="1" min="4" max="4"/>
    <col width="15" customWidth="1" min="5" max="6"/>
    <col width="17" customWidth="1" min="7" max="8"/>
    <col width="13" customWidth="1" min="9" max="10"/>
    <col width="46" customWidth="1" min="11" max="11"/>
  </cols>
  <sheetData>
    <row r="1" ht="15" customHeight="1">
      <c r="A1" s="5" t="inlineStr">
        <is>
          <t>升级</t>
        </is>
      </c>
      <c r="B1" s="5" t="inlineStr">
        <is>
          <t>升级前格数</t>
        </is>
      </c>
      <c r="C1" s="5" t="inlineStr">
        <is>
          <t>升级后格数</t>
        </is>
      </c>
      <c r="D1" s="5" t="inlineStr">
        <is>
          <t>升级成本(元)</t>
        </is>
      </c>
      <c r="E1" s="5" t="inlineStr">
        <is>
          <t>升级前常驻区域</t>
        </is>
      </c>
      <c r="F1" s="5" t="inlineStr">
        <is>
          <t>升级后常驻区域</t>
        </is>
      </c>
      <c r="G1" s="5" t="inlineStr">
        <is>
          <t>升级前单趟收益(元)</t>
        </is>
      </c>
      <c r="H1" s="5" t="inlineStr">
        <is>
          <t>升级后单趟收益(元)</t>
        </is>
      </c>
      <c r="I1" s="5" t="inlineStr">
        <is>
          <t>攒钱趟数(趟)</t>
        </is>
      </c>
      <c r="J1" s="5" t="inlineStr">
        <is>
          <t>回收趟数(趟)</t>
        </is>
      </c>
      <c r="K1" s="5" t="inlineStr">
        <is>
          <t>体验提示</t>
        </is>
      </c>
    </row>
    <row r="2" ht="30" customHeight="1">
      <c r="A2" s="7" t="inlineStr">
        <is>
          <t>手提袋 → 小推车</t>
        </is>
      </c>
      <c r="B2" s="9" t="n">
        <v>6</v>
      </c>
      <c r="C2" s="9" t="n">
        <v>12</v>
      </c>
      <c r="D2" s="9" t="n">
        <v>80</v>
      </c>
      <c r="E2" s="7" t="inlineStr">
        <is>
          <t>街头巷尾</t>
        </is>
      </c>
      <c r="F2" s="7" t="inlineStr">
        <is>
          <t>商业街区</t>
        </is>
      </c>
      <c r="G2" s="12">
        <f>B2*VLOOKUP(E2,区域配置!$A$2:$D$7,4,FALSE)</f>
        <v>9</v>
      </c>
      <c r="H2" s="12">
        <f>C2*VLOOKUP(F2,区域配置!$A$2:$D$7,4,FALSE)</f>
        <v>26.6</v>
      </c>
      <c r="I2" s="24">
        <f>D2/G2</f>
        <v>8.8888888889</v>
      </c>
      <c r="J2" s="24">
        <f>D2/H2</f>
        <v>3.007518797</v>
      </c>
      <c r="K2" s="14" t="inlineStr">
        <is>
          <t>首次升级必须 20 分钟内可达成，这是新手留存的关键一跳。</t>
        </is>
      </c>
    </row>
    <row r="3" ht="30" customHeight="1">
      <c r="A3" s="7" t="inlineStr">
        <is>
          <t>小推车 → 三轮车</t>
        </is>
      </c>
      <c r="B3" s="9" t="n">
        <v>12</v>
      </c>
      <c r="C3" s="9" t="n">
        <v>24</v>
      </c>
      <c r="D3" s="9" t="n">
        <v>350</v>
      </c>
      <c r="E3" s="7" t="inlineStr">
        <is>
          <t>商业街区</t>
        </is>
      </c>
      <c r="F3" s="7" t="inlineStr">
        <is>
          <t>建设工地</t>
        </is>
      </c>
      <c r="G3" s="12">
        <f>B3*VLOOKUP(E3,区域配置!$A$2:$D$7,4,FALSE)</f>
        <v>26.6</v>
      </c>
      <c r="H3" s="12">
        <f>C3*VLOOKUP(F3,区域配置!$A$2:$D$7,4,FALSE)</f>
        <v>101.76</v>
      </c>
      <c r="I3" s="24">
        <f>D3/G3</f>
        <v>13.1578947368</v>
      </c>
      <c r="J3" s="24">
        <f>D3/H3</f>
        <v>3.4394654088</v>
      </c>
      <c r="K3" s="14" t="inlineStr">
        <is>
          <t>中期主力升级，应伴随「旧家电终于装得下」的爽点。</t>
        </is>
      </c>
    </row>
    <row r="4" ht="15" customHeight="1">
      <c r="A4" s="7" t="inlineStr">
        <is>
          <t>三轮车 → 电瓶车</t>
        </is>
      </c>
      <c r="B4" s="9" t="n">
        <v>24</v>
      </c>
      <c r="C4" s="9" t="n">
        <v>40</v>
      </c>
      <c r="D4" s="9" t="n">
        <v>1200</v>
      </c>
      <c r="E4" s="7" t="inlineStr">
        <is>
          <t>建设工地</t>
        </is>
      </c>
      <c r="F4" s="7" t="inlineStr">
        <is>
          <t>老城区</t>
        </is>
      </c>
      <c r="G4" s="12">
        <f>B4*VLOOKUP(E4,区域配置!$A$2:$D$7,4,FALSE)</f>
        <v>101.76</v>
      </c>
      <c r="H4" s="12">
        <f>C4*VLOOKUP(F4,区域配置!$A$2:$D$7,4,FALSE)</f>
        <v>224</v>
      </c>
      <c r="I4" s="24">
        <f>D4/G4</f>
        <v>11.7924528302</v>
      </c>
      <c r="J4" s="24">
        <f>D4/H4</f>
        <v>5.3571428571</v>
      </c>
      <c r="K4" s="14" t="inlineStr">
        <is>
          <t>玩家已进入每日上线节奏，可配合广告加速。</t>
        </is>
      </c>
    </row>
    <row r="5" ht="15" customHeight="1">
      <c r="A5" s="7" t="inlineStr">
        <is>
          <t>电瓶车 → 小货车</t>
        </is>
      </c>
      <c r="B5" s="9" t="n">
        <v>40</v>
      </c>
      <c r="C5" s="9" t="n">
        <v>70</v>
      </c>
      <c r="D5" s="9" t="n">
        <v>4000</v>
      </c>
      <c r="E5" s="7" t="inlineStr">
        <is>
          <t>老城区</t>
        </is>
      </c>
      <c r="F5" s="7" t="inlineStr">
        <is>
          <t>城郊填埋场</t>
        </is>
      </c>
      <c r="G5" s="12">
        <f>B5*VLOOKUP(E5,区域配置!$A$2:$D$7,4,FALSE)</f>
        <v>224</v>
      </c>
      <c r="H5" s="12">
        <f>C5*VLOOKUP(F5,区域配置!$A$2:$D$7,4,FALSE)</f>
        <v>548.3333333333</v>
      </c>
      <c r="I5" s="24">
        <f>D5/G5</f>
        <v>17.8571428571</v>
      </c>
      <c r="J5" s="24">
        <f>D5/H5</f>
        <v>7.2948328267</v>
      </c>
      <c r="K5" s="14" t="inlineStr">
        <is>
          <t>长线目标，应显示「还差多少趟」的进度条。</t>
        </is>
      </c>
    </row>
    <row r="7" ht="15.5" customHeight="1">
      <c r="A7" s="2" t="inlineStr">
        <is>
          <t>调参提示：「攒钱趟数」= 升级成本 ÷ 升级前单趟收益，控制在 8–18 趟。低于 5 趟升级没成就感，高于 25 趟会劝退。</t>
        </is>
      </c>
    </row>
    <row r="8" ht="15.5" customHeight="1">
      <c r="A8" s="2" t="inlineStr">
        <is>
          <t>「回收趟数」= 升级成本 ÷ 升级后单趟收益，反映升级本身的性价比，控制在 3–8 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2026-10-08T03:35:55Z</dcterms:created>
  <dcterms:modified xsi:type="dcterms:W3CDTF">2026-10-08T08:11:05Z</dcterms:modified>
  <cp:lastModifiedBy>IT</cp:lastModifiedBy>
</cp:coreProperties>
</file>